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cale-UP\Digital Loan Application Optimization\Artifact 6\"/>
    </mc:Choice>
  </mc:AlternateContent>
  <xr:revisionPtr revIDLastSave="0" documentId="13_ncr:1_{AF993D0A-34FE-47F1-B9C2-372517C1360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mpact Analysis" sheetId="1" r:id="rId1"/>
    <sheet name="Impact Summary" sheetId="2" r:id="rId2"/>
    <sheet name="BA Impact Chec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D8" i="2"/>
  <c r="C8" i="2"/>
  <c r="B8" i="2"/>
  <c r="E8" i="2" s="1"/>
  <c r="D7" i="2"/>
  <c r="C7" i="2"/>
  <c r="B7" i="2"/>
  <c r="E7" i="2" s="1"/>
  <c r="D6" i="2"/>
  <c r="C6" i="2"/>
  <c r="B6" i="2"/>
  <c r="D5" i="2"/>
  <c r="D9" i="2" s="1"/>
  <c r="C5" i="2"/>
  <c r="B5" i="2"/>
  <c r="E5" i="2" s="1"/>
  <c r="B9" i="2" l="1"/>
  <c r="E6" i="2"/>
  <c r="E9" i="2" s="1"/>
</calcChain>
</file>

<file path=xl/sharedStrings.xml><?xml version="1.0" encoding="utf-8"?>
<sst xmlns="http://schemas.openxmlformats.org/spreadsheetml/2006/main" count="197" uniqueCount="161">
  <si>
    <t>SOLUTION IMPACT ANALYSIS</t>
  </si>
  <si>
    <t>Northstar Financial Services | Digital Loan Application Optimization | Each impact is assigned one primary domain for summary counts; cross-functional secondary effects remain described in the row.</t>
  </si>
  <si>
    <t>Impact ID</t>
  </si>
  <si>
    <t>Affected Stakeholder / System / Area</t>
  </si>
  <si>
    <t>Current State / Issue</t>
  </si>
  <si>
    <t>Future-State Change</t>
  </si>
  <si>
    <t>Impact Type</t>
  </si>
  <si>
    <t>Priority</t>
  </si>
  <si>
    <t>Expected Effect</t>
  </si>
  <si>
    <t>Required Change / Action</t>
  </si>
  <si>
    <t>Owner</t>
  </si>
  <si>
    <t>Dependency / Open Decision</t>
  </si>
  <si>
    <t>Validation Method</t>
  </si>
  <si>
    <t>Primary Domain</t>
  </si>
  <si>
    <t>IMP-01</t>
  </si>
  <si>
    <t>Customer / End User</t>
  </si>
  <si>
    <t>Customers may experience long waits, upload failures, retries and abandonment.</t>
  </si>
  <si>
    <t>Faster document processing, controlled recovery, preserved application state and clear next actions.</t>
  </si>
  <si>
    <t>Process / Customer</t>
  </si>
  <si>
    <t>High</t>
  </si>
  <si>
    <t>Customer experience becomes more resilient during temporary processing failures.</t>
  </si>
  <si>
    <t>Validate customer journey, recovery messaging and resume/retry behavior.</t>
  </si>
  <si>
    <t>Product Owner / BA</t>
  </si>
  <si>
    <t>Final customer wait-time and recovery targets.</t>
  </si>
  <si>
    <t>UAT + performance testing + customer journey validation</t>
  </si>
  <si>
    <t>Business / Customer</t>
  </si>
  <si>
    <t>IMP-02</t>
  </si>
  <si>
    <t>Product / Business Owner</t>
  </si>
  <si>
    <t>Completion decline is driven by processing delays and failures.</t>
  </si>
  <si>
    <t>Completion is targeted to recover above 70% while preserving compliance controls.</t>
  </si>
  <si>
    <t>Business</t>
  </si>
  <si>
    <t>Business outcome shifts from diagnosing the problem to monitoring recovery against agreed KPIs.</t>
  </si>
  <si>
    <t>Define KPI measurement population and final success thresholds.</t>
  </si>
  <si>
    <t>Product Owner</t>
  </si>
  <si>
    <t>KPI definition reconciliation.</t>
  </si>
  <si>
    <t>Post-release KPI monitoring</t>
  </si>
  <si>
    <t>IMP-03</t>
  </si>
  <si>
    <t>Compliance</t>
  </si>
  <si>
    <t>Compliance validation can occur repeatedly during the application journey.</t>
  </si>
  <si>
    <t>Eligible prior validation results may be reused when approved conditions are met; mandatory fresh checks remain required.</t>
  </si>
  <si>
    <t>Process / Control</t>
  </si>
  <si>
    <t>Potential duplicate validation effort is reduced without bypassing mandatory compliance.</t>
  </si>
  <si>
    <t>Approve compliance-relevant attributes, reuse conditions and invalidation rules.</t>
  </si>
  <si>
    <t>Compliance SME</t>
  </si>
  <si>
    <t>Compliance approval of reuse policy.</t>
  </si>
  <si>
    <t>Compliance test cases + audit review</t>
  </si>
  <si>
    <t>Compliance / Control</t>
  </si>
  <si>
    <t>IMP-04</t>
  </si>
  <si>
    <t>Technology</t>
  </si>
  <si>
    <t>Processing workload increased after V2 without corresponding capacity adjustment.</t>
  </si>
  <si>
    <t>Queue management, workload planning, processing optimization and capacity headroom become explicit solution capabilities.</t>
  </si>
  <si>
    <t>Technical / Capacity</t>
  </si>
  <si>
    <t>Technology must size capacity based on workload per application, not only traffic volume.</t>
  </si>
  <si>
    <t>Validate peak workload model and capacity/headroom target.</t>
  </si>
  <si>
    <t>Technology Lead</t>
  </si>
  <si>
    <t>Final peak workload and headroom target.</t>
  </si>
  <si>
    <t>Load / performance testing</t>
  </si>
  <si>
    <t>Technology / Performance</t>
  </si>
  <si>
    <t>IMP-05</t>
  </si>
  <si>
    <t>Document Processing Service</t>
  </si>
  <si>
    <t>Higher document volume creates queueing, latency, retries and errors.</t>
  </si>
  <si>
    <t>Processing is optimized and queue behavior is actively managed.</t>
  </si>
  <si>
    <t>Technical / Performance</t>
  </si>
  <si>
    <t>Processing bottleneck becomes a monitored and managed component.</t>
  </si>
  <si>
    <t>Validate processing time, queue depth/wait and error behavior under peak workload.</t>
  </si>
  <si>
    <t>Performance thresholds TBD.</t>
  </si>
  <si>
    <t>Performance test results</t>
  </si>
  <si>
    <t>IMP-06</t>
  </si>
  <si>
    <t>Failure Recovery</t>
  </si>
  <si>
    <t>Temporary failures can lead to repeated attempts or application abandonment.</t>
  </si>
  <si>
    <t>Failures are classified, retryable failures use controlled retry/backoff, and exhausted failures follow escalation/recovery.</t>
  </si>
  <si>
    <t>Process / Technical</t>
  </si>
  <si>
    <t>Recovery becomes an explicit controlled path rather than an implicit exception.</t>
  </si>
  <si>
    <t>Implement and test retry classification, retry limits, backoff and recovery path.</t>
  </si>
  <si>
    <t>Technology Lead / Product Owner</t>
  </si>
  <si>
    <t>Retry policy and recovery rules.</t>
  </si>
  <si>
    <t>Failure-injection / resilience testing</t>
  </si>
  <si>
    <t>IMP-07</t>
  </si>
  <si>
    <t>Operations</t>
  </si>
  <si>
    <t>Operations receives customer issues but may lack consistent technical context.</t>
  </si>
  <si>
    <t>Unrecovered failures provide Application ID, Document ID/version, failure type, retry attempts, timestamp, status and reference information.</t>
  </si>
  <si>
    <t>Operational</t>
  </si>
  <si>
    <t>Medium</t>
  </si>
  <si>
    <t>Support investigation and escalation become more structured.</t>
  </si>
  <si>
    <t>Confirm minimum operational context and escalation workflow.</t>
  </si>
  <si>
    <t>Final support data requirements.</t>
  </si>
  <si>
    <t>Operational scenario testing</t>
  </si>
  <si>
    <t>Operations / QA</t>
  </si>
  <si>
    <t>IMP-08</t>
  </si>
  <si>
    <t>QA</t>
  </si>
  <si>
    <t>Functional testing did not adequately reproduce peak processing workload.</t>
  </si>
  <si>
    <t>Testing includes peak-load, queue, retry, timeout and recovery scenarios.</t>
  </si>
  <si>
    <t>Quality / Testing</t>
  </si>
  <si>
    <t>QA scope expands from functional correctness to performance and resilience validation.</t>
  </si>
  <si>
    <t>Create test scenarios covering peak workload and failure recovery.</t>
  </si>
  <si>
    <t>QA Lead</t>
  </si>
  <si>
    <t>Approved performance/recovery requirements.</t>
  </si>
  <si>
    <t>System + performance + resilience tests</t>
  </si>
  <si>
    <t>IMP-09</t>
  </si>
  <si>
    <t>Application / State Management</t>
  </si>
  <si>
    <t>A failed processing attempt can contribute to restarting or abandoning the application.</t>
  </si>
  <si>
    <t>Application state is preserved and the customer can retry/resume without restarting the entire application.</t>
  </si>
  <si>
    <t>Technical / Customer</t>
  </si>
  <si>
    <t>State preservation becomes an explicit solution requirement.</t>
  </si>
  <si>
    <t>Validate state preservation across retry and recovery paths.</t>
  </si>
  <si>
    <t>Recovery workflow design.</t>
  </si>
  <si>
    <t>End-to-end recovery testing</t>
  </si>
  <si>
    <t>IMP-10</t>
  </si>
  <si>
    <t>Audit / Compliance Traceability</t>
  </si>
  <si>
    <t>Validation activity may be repeated without an explicit architecture-level audit trail.</t>
  </si>
  <si>
    <t>Validation/reuse decisions and relevant validation results are recorded for traceability.</t>
  </si>
  <si>
    <t>Control / Audit</t>
  </si>
  <si>
    <t>The solution provides evidence for why a validation was reused or performed.</t>
  </si>
  <si>
    <t>Define audit events and retained attributes with Compliance/Technology.</t>
  </si>
  <si>
    <t>Compliance SME / Technology Lead</t>
  </si>
  <si>
    <t>Audit requirements and retention rules.</t>
  </si>
  <si>
    <t>Audit-log verification</t>
  </si>
  <si>
    <t>IMP-11</t>
  </si>
  <si>
    <t>Performance Monitoring</t>
  </si>
  <si>
    <t>Monitoring is focused on symptoms such as errors and latency.</t>
  </si>
  <si>
    <t>Monitoring covers latency, errors, retries, queue depth/wait and workload behavior.</t>
  </si>
  <si>
    <t>Technical / Monitoring</t>
  </si>
  <si>
    <t>Early warning capability improves for processing saturation and degradation.</t>
  </si>
  <si>
    <t>Define monitoring metrics, thresholds and alert ownership.</t>
  </si>
  <si>
    <t>Final performance thresholds.</t>
  </si>
  <si>
    <t>Monitoring validation</t>
  </si>
  <si>
    <t>IMP-12</t>
  </si>
  <si>
    <t>Business / Financial Outcome</t>
  </si>
  <si>
    <t>Lower completion creates lost conversion and additional operational effort.</t>
  </si>
  <si>
    <t>Improved completion and reduced failure/rework should reduce avoidable operational effort.</t>
  </si>
  <si>
    <t>Business / Financial</t>
  </si>
  <si>
    <t>Expected benefit comes from restoring completion and reducing unnecessary processing/retries.</t>
  </si>
  <si>
    <t>Establish baseline and post-release benefit measurement.</t>
  </si>
  <si>
    <t>Product Owner / Sponsor</t>
  </si>
  <si>
    <t>Final KPI baseline and benefit model.</t>
  </si>
  <si>
    <t>Post-implementation benefits review</t>
  </si>
  <si>
    <t>SOLUTION IMPACT SUMMARY</t>
  </si>
  <si>
    <t>Impact severity by primary domain (each impact is counted once).</t>
  </si>
  <si>
    <t>Low</t>
  </si>
  <si>
    <t>Total</t>
  </si>
  <si>
    <t>Open dependencies are not treated as approved requirements: final thresholds, capacity/headroom, retry policy, compliance reuse rules, audit retention, and KPI definitions require stakeholder agreement.</t>
  </si>
  <si>
    <t>BA QUALITY CHECKS</t>
  </si>
  <si>
    <t>Review checks that help ensure the impact analysis is complete and does not turn unresolved decisions into confirmed scope.</t>
  </si>
  <si>
    <t>Check</t>
  </si>
  <si>
    <t>Status</t>
  </si>
  <si>
    <t>BA Rationale</t>
  </si>
  <si>
    <t>Stakeholder impacts identified</t>
  </si>
  <si>
    <t>Pass</t>
  </si>
  <si>
    <t>Customer, Product, Compliance, Technology, Operations and QA are covered.</t>
  </si>
  <si>
    <t>Process impacts identified</t>
  </si>
  <si>
    <t>Validation reuse, failure recovery, state preservation and operational escalation are covered.</t>
  </si>
  <si>
    <t>Technical impacts identified</t>
  </si>
  <si>
    <t>Queue, capacity, processing performance, monitoring and audit capability are covered.</t>
  </si>
  <si>
    <t>Business impacts identified</t>
  </si>
  <si>
    <t>Completion, customer experience, operational effort and benefit measurement are covered.</t>
  </si>
  <si>
    <t>Dependencies captured</t>
  </si>
  <si>
    <t>Open decisions are explicitly recorded rather than invented as final requirements.</t>
  </si>
  <si>
    <t>No unsupported final thresholds invented</t>
  </si>
  <si>
    <t>Where targets are still pending validation, the artifact records them as decisions/dependencies.</t>
  </si>
  <si>
    <t>Downstream use</t>
  </si>
  <si>
    <t>Feeds solution design refinement, implementation planning, test planning and change/readiness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</si>
</sst>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b/>
      <sz val="10"/>
      <color rgb="FFFFFFFF"/>
      <name val="Carlito"/>
    </font>
    <font>
      <sz val="9"/>
      <color rgb="FF1F2937"/>
      <name val="Carlito"/>
    </font>
    <font>
      <sz val="10"/>
      <color rgb="FF1F2937"/>
      <name val="Carlito"/>
    </font>
    <font>
      <b/>
      <sz val="10"/>
      <color rgb="FF1736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F3F6F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4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5" borderId="2" xfId="0" applyFont="1" applyFill="1" applyBorder="1" applyAlignment="1">
      <alignment vertical="center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5" fillId="6" borderId="0" xfId="0" applyFont="1" applyFill="1" applyAlignment="1">
      <alignment vertical="center" wrapText="1"/>
    </xf>
  </cellXfs>
  <cellStyles count="1">
    <cellStyle name="Normal" xfId="0" builtinId="0"/>
  </cellStyles>
  <dxfs count="3">
    <dxf>
      <font>
        <b/>
        <color rgb="FF006100"/>
      </font>
      <fill>
        <patternFill patternType="solid">
          <bgColor rgb="FFDDEFEA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pactAnalysisTable" displayName="ImpactAnalysisTable" ref="A4:L16" totalsRowShown="0">
  <tableColumns count="12">
    <tableColumn id="1" xr3:uid="{00000000-0010-0000-0000-000001000000}" name="Impact ID"/>
    <tableColumn id="2" xr3:uid="{00000000-0010-0000-0000-000002000000}" name="Affected Stakeholder / System / Area"/>
    <tableColumn id="3" xr3:uid="{00000000-0010-0000-0000-000003000000}" name="Current State / Issue"/>
    <tableColumn id="4" xr3:uid="{00000000-0010-0000-0000-000004000000}" name="Future-State Change"/>
    <tableColumn id="5" xr3:uid="{00000000-0010-0000-0000-000005000000}" name="Impact Type"/>
    <tableColumn id="6" xr3:uid="{00000000-0010-0000-0000-000006000000}" name="Priority"/>
    <tableColumn id="7" xr3:uid="{00000000-0010-0000-0000-000007000000}" name="Expected Effect"/>
    <tableColumn id="8" xr3:uid="{00000000-0010-0000-0000-000008000000}" name="Required Change / Action"/>
    <tableColumn id="9" xr3:uid="{00000000-0010-0000-0000-000009000000}" name="Owner"/>
    <tableColumn id="10" xr3:uid="{00000000-0010-0000-0000-00000A000000}" name="Dependency / Open Decision"/>
    <tableColumn id="11" xr3:uid="{00000000-0010-0000-0000-00000B000000}" name="Validation Method"/>
    <tableColumn id="12" xr3:uid="{00000000-0010-0000-0000-00000C000000}" name="Primary Doma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actSummaryTable" displayName="ImpactSummaryTable" ref="A4:E8" totalsRowShown="0">
  <tableColumns count="5">
    <tableColumn id="1" xr3:uid="{00000000-0010-0000-0100-000001000000}" name="Primary Domain"/>
    <tableColumn id="2" xr3:uid="{00000000-0010-0000-0100-000002000000}" name="High"/>
    <tableColumn id="3" xr3:uid="{00000000-0010-0000-0100-000003000000}" name="Medium"/>
    <tableColumn id="4" xr3:uid="{00000000-0010-0000-0100-000004000000}" name="Low"/>
    <tableColumn id="5" xr3:uid="{00000000-0010-0000-0100-000005000000}" name="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AImpactChecksTable" displayName="BAImpactChecksTable" ref="A4:C11" totalsRowShown="0">
  <tableColumns count="3">
    <tableColumn id="1" xr3:uid="{00000000-0010-0000-0200-000001000000}" name="Check"/>
    <tableColumn id="2" xr3:uid="{00000000-0010-0000-0200-000002000000}" name="Status"/>
    <tableColumn id="3" xr3:uid="{00000000-0010-0000-0200-000003000000}" name="BA Ration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pane ySplit="4" topLeftCell="A5" activePane="bottomLeft" state="frozen"/>
      <selection pane="bottomLeft" activeCell="D8" sqref="D8"/>
    </sheetView>
  </sheetViews>
  <sheetFormatPr defaultRowHeight="13.8"/>
  <cols>
    <col min="1" max="1" width="10" customWidth="1"/>
    <col min="2" max="2" width="25" customWidth="1"/>
    <col min="3" max="3" width="36" customWidth="1"/>
    <col min="4" max="4" width="38" customWidth="1"/>
    <col min="5" max="5" width="20" customWidth="1"/>
    <col min="6" max="6" width="11" customWidth="1"/>
    <col min="7" max="7" width="36" customWidth="1"/>
    <col min="8" max="8" width="38" customWidth="1"/>
    <col min="9" max="9" width="24" customWidth="1"/>
    <col min="10" max="11" width="31" customWidth="1"/>
    <col min="12" max="12" width="24" customWidth="1"/>
  </cols>
  <sheetData>
    <row r="1" spans="1:12" ht="2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7.399999999999999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 ht="26.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22.8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</row>
    <row r="6" spans="1:12" ht="22.8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19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25</v>
      </c>
    </row>
    <row r="7" spans="1:12" ht="34.200000000000003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19</v>
      </c>
      <c r="G7" s="2" t="s">
        <v>41</v>
      </c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</row>
    <row r="8" spans="1:12" ht="34.20000000000000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19</v>
      </c>
      <c r="G8" s="2" t="s">
        <v>52</v>
      </c>
      <c r="H8" s="2" t="s">
        <v>53</v>
      </c>
      <c r="I8" s="2" t="s">
        <v>54</v>
      </c>
      <c r="J8" s="2" t="s">
        <v>55</v>
      </c>
      <c r="K8" s="2" t="s">
        <v>56</v>
      </c>
      <c r="L8" s="2" t="s">
        <v>57</v>
      </c>
    </row>
    <row r="9" spans="1:12" ht="22.8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19</v>
      </c>
      <c r="G9" s="2" t="s">
        <v>63</v>
      </c>
      <c r="H9" s="2" t="s">
        <v>64</v>
      </c>
      <c r="I9" s="2" t="s">
        <v>54</v>
      </c>
      <c r="J9" s="2" t="s">
        <v>65</v>
      </c>
      <c r="K9" s="2" t="s">
        <v>66</v>
      </c>
      <c r="L9" s="2" t="s">
        <v>57</v>
      </c>
    </row>
    <row r="10" spans="1:12" ht="34.200000000000003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19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57</v>
      </c>
    </row>
    <row r="11" spans="1:12" ht="34.200000000000003">
      <c r="A11" s="2" t="s">
        <v>77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83</v>
      </c>
      <c r="H11" s="2" t="s">
        <v>84</v>
      </c>
      <c r="I11" s="2" t="s">
        <v>78</v>
      </c>
      <c r="J11" s="2" t="s">
        <v>85</v>
      </c>
      <c r="K11" s="2" t="s">
        <v>86</v>
      </c>
      <c r="L11" s="2" t="s">
        <v>87</v>
      </c>
    </row>
    <row r="12" spans="1:12" ht="22.8">
      <c r="A12" s="2" t="s">
        <v>88</v>
      </c>
      <c r="B12" s="2" t="s">
        <v>89</v>
      </c>
      <c r="C12" s="2" t="s">
        <v>90</v>
      </c>
      <c r="D12" s="2" t="s">
        <v>91</v>
      </c>
      <c r="E12" s="2" t="s">
        <v>92</v>
      </c>
      <c r="F12" s="2" t="s">
        <v>19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87</v>
      </c>
    </row>
    <row r="13" spans="1:12" ht="22.8">
      <c r="A13" s="2" t="s">
        <v>98</v>
      </c>
      <c r="B13" s="2" t="s">
        <v>99</v>
      </c>
      <c r="C13" s="2" t="s">
        <v>100</v>
      </c>
      <c r="D13" s="2" t="s">
        <v>101</v>
      </c>
      <c r="E13" s="2" t="s">
        <v>102</v>
      </c>
      <c r="F13" s="2" t="s">
        <v>19</v>
      </c>
      <c r="G13" s="2" t="s">
        <v>103</v>
      </c>
      <c r="H13" s="2" t="s">
        <v>104</v>
      </c>
      <c r="I13" s="2" t="s">
        <v>54</v>
      </c>
      <c r="J13" s="2" t="s">
        <v>105</v>
      </c>
      <c r="K13" s="2" t="s">
        <v>106</v>
      </c>
      <c r="L13" s="2" t="s">
        <v>57</v>
      </c>
    </row>
    <row r="14" spans="1:12" ht="22.8">
      <c r="A14" s="2" t="s">
        <v>107</v>
      </c>
      <c r="B14" s="2" t="s">
        <v>108</v>
      </c>
      <c r="C14" s="2" t="s">
        <v>109</v>
      </c>
      <c r="D14" s="2" t="s">
        <v>110</v>
      </c>
      <c r="E14" s="2" t="s">
        <v>111</v>
      </c>
      <c r="F14" s="2" t="s">
        <v>82</v>
      </c>
      <c r="G14" s="2" t="s">
        <v>112</v>
      </c>
      <c r="H14" s="2" t="s">
        <v>113</v>
      </c>
      <c r="I14" s="2" t="s">
        <v>114</v>
      </c>
      <c r="J14" s="2" t="s">
        <v>115</v>
      </c>
      <c r="K14" s="2" t="s">
        <v>116</v>
      </c>
      <c r="L14" s="2" t="s">
        <v>46</v>
      </c>
    </row>
    <row r="15" spans="1:12" ht="22.8">
      <c r="A15" s="2" t="s">
        <v>117</v>
      </c>
      <c r="B15" s="2" t="s">
        <v>118</v>
      </c>
      <c r="C15" s="2" t="s">
        <v>119</v>
      </c>
      <c r="D15" s="2" t="s">
        <v>120</v>
      </c>
      <c r="E15" s="2" t="s">
        <v>121</v>
      </c>
      <c r="F15" s="2" t="s">
        <v>82</v>
      </c>
      <c r="G15" s="2" t="s">
        <v>122</v>
      </c>
      <c r="H15" s="2" t="s">
        <v>123</v>
      </c>
      <c r="I15" s="2" t="s">
        <v>54</v>
      </c>
      <c r="J15" s="2" t="s">
        <v>124</v>
      </c>
      <c r="K15" s="2" t="s">
        <v>125</v>
      </c>
      <c r="L15" s="2" t="s">
        <v>57</v>
      </c>
    </row>
    <row r="16" spans="1:12" ht="22.8">
      <c r="A16" s="3" t="s">
        <v>126</v>
      </c>
      <c r="B16" s="3" t="s">
        <v>127</v>
      </c>
      <c r="C16" s="3" t="s">
        <v>128</v>
      </c>
      <c r="D16" s="3" t="s">
        <v>129</v>
      </c>
      <c r="E16" s="3" t="s">
        <v>130</v>
      </c>
      <c r="F16" s="3" t="s">
        <v>19</v>
      </c>
      <c r="G16" s="3" t="s">
        <v>131</v>
      </c>
      <c r="H16" s="3" t="s">
        <v>132</v>
      </c>
      <c r="I16" s="3" t="s">
        <v>133</v>
      </c>
      <c r="J16" s="3" t="s">
        <v>134</v>
      </c>
      <c r="K16" s="3" t="s">
        <v>135</v>
      </c>
      <c r="L16" s="3" t="s">
        <v>25</v>
      </c>
    </row>
  </sheetData>
  <mergeCells count="2">
    <mergeCell ref="A1:L1"/>
    <mergeCell ref="A2:L2"/>
  </mergeCells>
  <conditionalFormatting sqref="F5:F16">
    <cfRule type="expression" dxfId="2" priority="1">
      <formula>F5="High"</formula>
    </cfRule>
    <cfRule type="expression" dxfId="1" priority="2">
      <formula>F5="Medium"</formula>
    </cfRule>
  </conditionalFormatting>
  <dataValidations count="1">
    <dataValidation type="list" sqref="F5:F16" xr:uid="{00000000-0002-0000-00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4" topLeftCell="A5" activePane="bottomLeft" state="frozen"/>
      <selection pane="bottomLeft" activeCell="H5" sqref="H5"/>
    </sheetView>
  </sheetViews>
  <sheetFormatPr defaultRowHeight="13.8"/>
  <cols>
    <col min="1" max="1" width="30" customWidth="1"/>
    <col min="2" max="5" width="12" customWidth="1"/>
  </cols>
  <sheetData>
    <row r="1" spans="1:5" ht="21">
      <c r="A1" s="11" t="s">
        <v>136</v>
      </c>
      <c r="B1" s="11"/>
      <c r="C1" s="11"/>
      <c r="D1" s="11"/>
      <c r="E1" s="11"/>
    </row>
    <row r="2" spans="1:5" ht="15.6" customHeight="1">
      <c r="A2" s="12" t="s">
        <v>137</v>
      </c>
      <c r="B2" s="12"/>
      <c r="C2" s="12"/>
      <c r="D2" s="12"/>
      <c r="E2" s="12"/>
    </row>
    <row r="4" spans="1:5">
      <c r="A4" s="4" t="s">
        <v>13</v>
      </c>
      <c r="B4" s="4" t="s">
        <v>19</v>
      </c>
      <c r="C4" s="4" t="s">
        <v>82</v>
      </c>
      <c r="D4" s="4" t="s">
        <v>138</v>
      </c>
      <c r="E4" s="4" t="s">
        <v>139</v>
      </c>
    </row>
    <row r="5" spans="1:5">
      <c r="A5" s="5" t="s">
        <v>25</v>
      </c>
      <c r="B5" s="5">
        <f>COUNTIFS('Impact Analysis'!$L$5:$L$16,$A5,'Impact Analysis'!$F$5:$F$16,B$4)</f>
        <v>3</v>
      </c>
      <c r="C5" s="5">
        <f>COUNTIFS('Impact Analysis'!$L$5:$L$16,$A5,'Impact Analysis'!$F$5:$F$16,C$4)</f>
        <v>0</v>
      </c>
      <c r="D5" s="5">
        <f>COUNTIFS('Impact Analysis'!$L$5:$L$16,$A5,'Impact Analysis'!$F$5:$F$16,D$4)</f>
        <v>0</v>
      </c>
      <c r="E5" s="5">
        <f>SUM(B5:D5)</f>
        <v>3</v>
      </c>
    </row>
    <row r="6" spans="1:5">
      <c r="A6" s="5" t="s">
        <v>46</v>
      </c>
      <c r="B6" s="5">
        <f>COUNTIFS('Impact Analysis'!$L$5:$L$16,$A6,'Impact Analysis'!$F$5:$F$16,B$4)</f>
        <v>1</v>
      </c>
      <c r="C6" s="5">
        <f>COUNTIFS('Impact Analysis'!$L$5:$L$16,$A6,'Impact Analysis'!$F$5:$F$16,C$4)</f>
        <v>1</v>
      </c>
      <c r="D6" s="5">
        <f>COUNTIFS('Impact Analysis'!$L$5:$L$16,$A6,'Impact Analysis'!$F$5:$F$16,D$4)</f>
        <v>0</v>
      </c>
      <c r="E6" s="5">
        <f>SUM(B6:D6)</f>
        <v>2</v>
      </c>
    </row>
    <row r="7" spans="1:5">
      <c r="A7" s="5" t="s">
        <v>57</v>
      </c>
      <c r="B7" s="5">
        <f>COUNTIFS('Impact Analysis'!$L$5:$L$16,$A7,'Impact Analysis'!$F$5:$F$16,B$4)</f>
        <v>4</v>
      </c>
      <c r="C7" s="5">
        <f>COUNTIFS('Impact Analysis'!$L$5:$L$16,$A7,'Impact Analysis'!$F$5:$F$16,C$4)</f>
        <v>1</v>
      </c>
      <c r="D7" s="5">
        <f>COUNTIFS('Impact Analysis'!$L$5:$L$16,$A7,'Impact Analysis'!$F$5:$F$16,D$4)</f>
        <v>0</v>
      </c>
      <c r="E7" s="5">
        <f>SUM(B7:D7)</f>
        <v>5</v>
      </c>
    </row>
    <row r="8" spans="1:5">
      <c r="A8" s="5" t="s">
        <v>87</v>
      </c>
      <c r="B8" s="5">
        <f>COUNTIFS('Impact Analysis'!$L$5:$L$16,$A8,'Impact Analysis'!$F$5:$F$16,B$4)</f>
        <v>1</v>
      </c>
      <c r="C8" s="5">
        <f>COUNTIFS('Impact Analysis'!$L$5:$L$16,$A8,'Impact Analysis'!$F$5:$F$16,C$4)</f>
        <v>1</v>
      </c>
      <c r="D8" s="5">
        <f>COUNTIFS('Impact Analysis'!$L$5:$L$16,$A8,'Impact Analysis'!$F$5:$F$16,D$4)</f>
        <v>0</v>
      </c>
      <c r="E8" s="5">
        <f>SUM(B8:D8)</f>
        <v>2</v>
      </c>
    </row>
    <row r="9" spans="1:5">
      <c r="A9" s="6" t="s">
        <v>139</v>
      </c>
      <c r="B9" s="6">
        <f>SUM(B5:B8)</f>
        <v>9</v>
      </c>
      <c r="C9" s="6">
        <f>SUM(C5:C8)</f>
        <v>3</v>
      </c>
      <c r="D9" s="6">
        <f>SUM(D5:D8)</f>
        <v>0</v>
      </c>
      <c r="E9" s="6">
        <f>SUM(E5:E8)</f>
        <v>12</v>
      </c>
    </row>
    <row r="11" spans="1:5" ht="33" customHeight="1">
      <c r="A11" s="13" t="s">
        <v>140</v>
      </c>
      <c r="B11" s="13"/>
      <c r="C11" s="13"/>
      <c r="D11" s="13"/>
      <c r="E11" s="13"/>
    </row>
  </sheetData>
  <mergeCells count="3">
    <mergeCell ref="A1:E1"/>
    <mergeCell ref="A2:E2"/>
    <mergeCell ref="A11:E1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tabSelected="1" workbookViewId="0">
      <pane ySplit="4" topLeftCell="A5" activePane="bottomLeft" state="frozen"/>
      <selection pane="bottomLeft" activeCell="A16" sqref="A16"/>
    </sheetView>
  </sheetViews>
  <sheetFormatPr defaultRowHeight="13.8"/>
  <cols>
    <col min="1" max="1" width="35" customWidth="1"/>
    <col min="2" max="2" width="14" customWidth="1"/>
    <col min="3" max="3" width="86" customWidth="1"/>
  </cols>
  <sheetData>
    <row r="1" spans="1:3" ht="21">
      <c r="A1" s="11" t="s">
        <v>141</v>
      </c>
      <c r="B1" s="11"/>
      <c r="C1" s="11"/>
    </row>
    <row r="2" spans="1:3" ht="17.399999999999999" customHeight="1">
      <c r="A2" s="10" t="s">
        <v>142</v>
      </c>
      <c r="B2" s="10"/>
      <c r="C2" s="10"/>
    </row>
    <row r="4" spans="1:3">
      <c r="A4" s="4" t="s">
        <v>143</v>
      </c>
      <c r="B4" s="4" t="s">
        <v>144</v>
      </c>
      <c r="C4" s="4" t="s">
        <v>145</v>
      </c>
    </row>
    <row r="5" spans="1:3" ht="18" customHeight="1">
      <c r="A5" s="7" t="s">
        <v>146</v>
      </c>
      <c r="B5" s="7" t="s">
        <v>147</v>
      </c>
      <c r="C5" s="7" t="s">
        <v>148</v>
      </c>
    </row>
    <row r="6" spans="1:3" ht="17.399999999999999" customHeight="1">
      <c r="A6" s="7" t="s">
        <v>149</v>
      </c>
      <c r="B6" s="7" t="s">
        <v>147</v>
      </c>
      <c r="C6" s="7" t="s">
        <v>150</v>
      </c>
    </row>
    <row r="7" spans="1:3" ht="16.8" customHeight="1">
      <c r="A7" s="7" t="s">
        <v>151</v>
      </c>
      <c r="B7" s="7" t="s">
        <v>147</v>
      </c>
      <c r="C7" s="7" t="s">
        <v>152</v>
      </c>
    </row>
    <row r="8" spans="1:3" ht="19.8" customHeight="1">
      <c r="A8" s="7" t="s">
        <v>153</v>
      </c>
      <c r="B8" s="7" t="s">
        <v>147</v>
      </c>
      <c r="C8" s="7" t="s">
        <v>154</v>
      </c>
    </row>
    <row r="9" spans="1:3" ht="16.8" customHeight="1">
      <c r="A9" s="7" t="s">
        <v>155</v>
      </c>
      <c r="B9" s="7" t="s">
        <v>147</v>
      </c>
      <c r="C9" s="7" t="s">
        <v>156</v>
      </c>
    </row>
    <row r="10" spans="1:3">
      <c r="A10" s="7" t="s">
        <v>157</v>
      </c>
      <c r="B10" s="7" t="s">
        <v>147</v>
      </c>
      <c r="C10" s="7" t="s">
        <v>158</v>
      </c>
    </row>
    <row r="11" spans="1:3" ht="16.8" customHeight="1">
      <c r="A11" s="8" t="s">
        <v>159</v>
      </c>
      <c r="B11" s="8" t="s">
        <v>147</v>
      </c>
      <c r="C11" s="8" t="s">
        <v>160</v>
      </c>
    </row>
  </sheetData>
  <mergeCells count="2">
    <mergeCell ref="A1:C1"/>
    <mergeCell ref="A2:C2"/>
  </mergeCells>
  <conditionalFormatting sqref="B5:B11">
    <cfRule type="expression" dxfId="0" priority="1">
      <formula>B5="Pass"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Impact Analysis</vt:lpstr>
      <vt:lpstr>Impact Summary</vt:lpstr>
      <vt:lpstr>BA Impact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Kaoshal Rathod</cp:lastModifiedBy>
  <dcterms:modified xsi:type="dcterms:W3CDTF">2026-10-09T14:03:45Z</dcterms:modified>
</cp:coreProperties>
</file>